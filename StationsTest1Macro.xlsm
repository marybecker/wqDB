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user\Documents\Projects\ProgramDev\wqDB\"/>
    </mc:Choice>
  </mc:AlternateContent>
  <xr:revisionPtr revIDLastSave="0" documentId="13_ncr:1_{9300CDBC-DC33-4F65-A7CC-976B94CA8ADA}" xr6:coauthVersionLast="36" xr6:coauthVersionMax="36" xr10:uidLastSave="{00000000-0000-0000-0000-000000000000}"/>
  <bookViews>
    <workbookView xWindow="0" yWindow="0" windowWidth="28800" windowHeight="12225" xr2:uid="{57833290-41D1-480B-A1A0-5BC118BE0D53}"/>
  </bookViews>
  <sheets>
    <sheet name="newStation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5" i="1"/>
  <c r="O4" i="1"/>
  <c r="O3" i="1"/>
  <c r="O2" i="1"/>
</calcChain>
</file>

<file path=xl/sharedStrings.xml><?xml version="1.0" encoding="utf-8"?>
<sst xmlns="http://schemas.openxmlformats.org/spreadsheetml/2006/main" count="61" uniqueCount="42">
  <si>
    <t>staSeq</t>
  </si>
  <si>
    <t>locationName</t>
  </si>
  <si>
    <t>locationDescription</t>
  </si>
  <si>
    <t>locationType</t>
  </si>
  <si>
    <t>ylat</t>
  </si>
  <si>
    <t>xlong</t>
  </si>
  <si>
    <t>sourceMapScale</t>
  </si>
  <si>
    <t>horizCollectMethod</t>
  </si>
  <si>
    <t>horizRefDatum</t>
  </si>
  <si>
    <t>stateCd</t>
  </si>
  <si>
    <t>munName</t>
  </si>
  <si>
    <t>subBasin</t>
  </si>
  <si>
    <t>adbSegID</t>
  </si>
  <si>
    <t>Aspetuck River</t>
  </si>
  <si>
    <t>Downstream Bayberry Lane</t>
  </si>
  <si>
    <t>River/Stream</t>
  </si>
  <si>
    <t>Unknown</t>
  </si>
  <si>
    <t>NAD83</t>
  </si>
  <si>
    <t>CT</t>
  </si>
  <si>
    <t>WESTPORT</t>
  </si>
  <si>
    <t>CT7202-00_01</t>
  </si>
  <si>
    <t>Bantam River</t>
  </si>
  <si>
    <t>upstream Morris Hill Road/Stoddard Road</t>
  </si>
  <si>
    <t>Interpolation-Map</t>
  </si>
  <si>
    <t>LITCHFIELD</t>
  </si>
  <si>
    <t>CT6705-00_02</t>
  </si>
  <si>
    <t>downstream Smokey Hollow Road</t>
  </si>
  <si>
    <t>MORRIS</t>
  </si>
  <si>
    <t>CT6705-00_01</t>
  </si>
  <si>
    <t>Beacon Hill Brook</t>
  </si>
  <si>
    <t>at Andrasko Road</t>
  </si>
  <si>
    <t>BEACON FALLS</t>
  </si>
  <si>
    <t>CT6918-00_01</t>
  </si>
  <si>
    <t>createDate</t>
  </si>
  <si>
    <t>createUser</t>
  </si>
  <si>
    <t>lastUpdateDate</t>
  </si>
  <si>
    <t>lastUpdateUser</t>
  </si>
  <si>
    <t>RutaM</t>
  </si>
  <si>
    <t>RiceLa</t>
  </si>
  <si>
    <t>Beauchene</t>
  </si>
  <si>
    <t>2010-09-03 11:00:00</t>
  </si>
  <si>
    <t>1999-03-02 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</si>
</sst>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D63D3-D73F-4EB8-B50F-49B1316E2DE4}">
  <sheetPr codeName="Sheet1"/>
  <dimension ref="A1:Q24"/>
  <sheetViews>
    <sheetView tabSelected="1" workbookViewId="0">
      <selection activeCell="R1" sqref="R1:R1048576"/>
    </sheetView>
  </sheetViews>
  <sheetFormatPr defaultRowHeight="15" x14ac:dyDescent="0.25"/>
  <cols>
    <col min="1" max="1" width="6.85546875" bestFit="1" customWidth="1"/>
    <col min="2" max="2" width="16.5703125" bestFit="1" customWidth="1"/>
    <col min="3" max="3" width="38.5703125" bestFit="1" customWidth="1"/>
    <col min="4" max="4" width="12.7109375" bestFit="1" customWidth="1"/>
    <col min="5" max="5" width="8" bestFit="1" customWidth="1"/>
    <col min="6" max="6" width="8.7109375" bestFit="1" customWidth="1"/>
    <col min="7" max="7" width="15.42578125" bestFit="1" customWidth="1"/>
    <col min="8" max="8" width="18.85546875" bestFit="1" customWidth="1"/>
    <col min="9" max="9" width="14.42578125" bestFit="1" customWidth="1"/>
    <col min="10" max="10" width="7.7109375" bestFit="1" customWidth="1"/>
    <col min="11" max="11" width="14" bestFit="1" customWidth="1"/>
    <col min="12" max="12" width="8.85546875" bestFit="1" customWidth="1"/>
    <col min="13" max="13" width="12.85546875" bestFit="1" customWidth="1"/>
    <col min="14" max="14" width="18.28515625" style="1" bestFit="1" customWidth="1"/>
    <col min="16" max="16" width="18.28515625" style="1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33</v>
      </c>
      <c r="O1" t="s">
        <v>34</v>
      </c>
      <c r="P1" s="1" t="s">
        <v>35</v>
      </c>
      <c r="Q1" t="s">
        <v>36</v>
      </c>
    </row>
    <row r="2" spans="1:17" x14ac:dyDescent="0.25">
      <c r="A2">
        <v>14126</v>
      </c>
      <c r="B2" t="s">
        <v>13</v>
      </c>
      <c r="C2" t="s">
        <v>14</v>
      </c>
      <c r="D2" t="s">
        <v>15</v>
      </c>
      <c r="E2">
        <v>41.186399999999999</v>
      </c>
      <c r="F2">
        <v>-73.3429</v>
      </c>
      <c r="G2">
        <v>24000</v>
      </c>
      <c r="H2" t="s">
        <v>16</v>
      </c>
      <c r="I2" t="s">
        <v>17</v>
      </c>
      <c r="J2" t="s">
        <v>18</v>
      </c>
      <c r="K2" t="s">
        <v>19</v>
      </c>
      <c r="L2">
        <v>7202</v>
      </c>
      <c r="M2" t="s">
        <v>20</v>
      </c>
      <c r="N2" s="1" t="s">
        <v>40</v>
      </c>
      <c r="O2" t="str">
        <f>IF(B2&lt;&gt;"",UserName(),"")</f>
        <v>deepuser</v>
      </c>
      <c r="P2" s="1" t="s">
        <v>40</v>
      </c>
      <c r="Q2" t="s">
        <v>37</v>
      </c>
    </row>
    <row r="3" spans="1:17" x14ac:dyDescent="0.25">
      <c r="A3">
        <v>14127</v>
      </c>
      <c r="B3" t="s">
        <v>21</v>
      </c>
      <c r="C3" t="s">
        <v>22</v>
      </c>
      <c r="D3" t="s">
        <v>15</v>
      </c>
      <c r="E3">
        <v>41.712200000000003</v>
      </c>
      <c r="F3">
        <v>-73.245699999999999</v>
      </c>
      <c r="G3">
        <v>24000</v>
      </c>
      <c r="H3" t="s">
        <v>23</v>
      </c>
      <c r="I3" t="s">
        <v>17</v>
      </c>
      <c r="J3" t="s">
        <v>18</v>
      </c>
      <c r="K3" t="s">
        <v>24</v>
      </c>
      <c r="L3">
        <v>6705</v>
      </c>
      <c r="M3" t="s">
        <v>25</v>
      </c>
      <c r="N3" s="1" t="s">
        <v>41</v>
      </c>
      <c r="O3" t="str">
        <f t="shared" ref="O3:O24" si="0">IF(B3&lt;&gt;"",UserName(),"")</f>
        <v>deepuser</v>
      </c>
      <c r="P3" s="1" t="s">
        <v>41</v>
      </c>
      <c r="Q3" t="s">
        <v>38</v>
      </c>
    </row>
    <row r="4" spans="1:17" x14ac:dyDescent="0.25">
      <c r="A4">
        <v>14128</v>
      </c>
      <c r="B4" t="s">
        <v>21</v>
      </c>
      <c r="C4" t="s">
        <v>26</v>
      </c>
      <c r="D4" t="s">
        <v>15</v>
      </c>
      <c r="E4">
        <v>41.688400000000001</v>
      </c>
      <c r="F4">
        <v>-73.266800000000003</v>
      </c>
      <c r="G4">
        <v>24000</v>
      </c>
      <c r="H4" t="s">
        <v>23</v>
      </c>
      <c r="I4" t="s">
        <v>17</v>
      </c>
      <c r="J4" t="s">
        <v>18</v>
      </c>
      <c r="K4" t="s">
        <v>27</v>
      </c>
      <c r="L4">
        <v>6705</v>
      </c>
      <c r="M4" t="s">
        <v>28</v>
      </c>
      <c r="N4" s="1" t="s">
        <v>41</v>
      </c>
      <c r="O4" t="str">
        <f t="shared" si="0"/>
        <v>deepuser</v>
      </c>
      <c r="P4" s="1" t="s">
        <v>41</v>
      </c>
      <c r="Q4" t="s">
        <v>39</v>
      </c>
    </row>
    <row r="5" spans="1:17" x14ac:dyDescent="0.25">
      <c r="A5">
        <v>14129</v>
      </c>
      <c r="B5" t="s">
        <v>29</v>
      </c>
      <c r="C5" t="s">
        <v>30</v>
      </c>
      <c r="D5" t="s">
        <v>15</v>
      </c>
      <c r="E5">
        <v>41.468400000000003</v>
      </c>
      <c r="F5">
        <v>-73.0501</v>
      </c>
      <c r="G5">
        <v>24000</v>
      </c>
      <c r="H5" t="s">
        <v>23</v>
      </c>
      <c r="I5" t="s">
        <v>17</v>
      </c>
      <c r="J5" t="s">
        <v>18</v>
      </c>
      <c r="K5" t="s">
        <v>31</v>
      </c>
      <c r="L5">
        <v>6918</v>
      </c>
      <c r="M5" t="s">
        <v>32</v>
      </c>
      <c r="N5" s="1" t="s">
        <v>41</v>
      </c>
      <c r="O5" t="str">
        <f t="shared" si="0"/>
        <v>deepuser</v>
      </c>
      <c r="P5" s="1" t="s">
        <v>41</v>
      </c>
      <c r="Q5" t="s">
        <v>39</v>
      </c>
    </row>
    <row r="6" spans="1:17" x14ac:dyDescent="0.25">
      <c r="O6" t="str">
        <f t="shared" si="0"/>
        <v/>
      </c>
    </row>
    <row r="7" spans="1:17" x14ac:dyDescent="0.25">
      <c r="O7" t="str">
        <f t="shared" si="0"/>
        <v/>
      </c>
    </row>
    <row r="8" spans="1:17" x14ac:dyDescent="0.25">
      <c r="O8" t="str">
        <f t="shared" si="0"/>
        <v/>
      </c>
    </row>
    <row r="9" spans="1:17" x14ac:dyDescent="0.25">
      <c r="O9" t="str">
        <f t="shared" si="0"/>
        <v/>
      </c>
    </row>
    <row r="10" spans="1:17" x14ac:dyDescent="0.25">
      <c r="O10" t="str">
        <f t="shared" si="0"/>
        <v/>
      </c>
    </row>
    <row r="11" spans="1:17" x14ac:dyDescent="0.25">
      <c r="O11" t="str">
        <f t="shared" si="0"/>
        <v/>
      </c>
    </row>
    <row r="12" spans="1:17" x14ac:dyDescent="0.25">
      <c r="O12" t="str">
        <f t="shared" si="0"/>
        <v/>
      </c>
    </row>
    <row r="13" spans="1:17" x14ac:dyDescent="0.25">
      <c r="O13" t="str">
        <f t="shared" si="0"/>
        <v/>
      </c>
    </row>
    <row r="14" spans="1:17" x14ac:dyDescent="0.25">
      <c r="O14" t="str">
        <f t="shared" si="0"/>
        <v/>
      </c>
    </row>
    <row r="15" spans="1:17" x14ac:dyDescent="0.25">
      <c r="O15" t="str">
        <f t="shared" si="0"/>
        <v/>
      </c>
    </row>
    <row r="16" spans="1:17" x14ac:dyDescent="0.25">
      <c r="O16" t="str">
        <f t="shared" si="0"/>
        <v/>
      </c>
    </row>
    <row r="17" spans="15:15" x14ac:dyDescent="0.25">
      <c r="O17" t="str">
        <f t="shared" si="0"/>
        <v/>
      </c>
    </row>
    <row r="18" spans="15:15" x14ac:dyDescent="0.25">
      <c r="O18" t="str">
        <f t="shared" si="0"/>
        <v/>
      </c>
    </row>
    <row r="19" spans="15:15" x14ac:dyDescent="0.25">
      <c r="O19" t="str">
        <f t="shared" si="0"/>
        <v/>
      </c>
    </row>
    <row r="20" spans="15:15" x14ac:dyDescent="0.25">
      <c r="O20" t="str">
        <f t="shared" si="0"/>
        <v/>
      </c>
    </row>
    <row r="21" spans="15:15" x14ac:dyDescent="0.25">
      <c r="O21" t="str">
        <f t="shared" si="0"/>
        <v/>
      </c>
    </row>
    <row r="22" spans="15:15" x14ac:dyDescent="0.25">
      <c r="O22" t="str">
        <f t="shared" si="0"/>
        <v/>
      </c>
    </row>
    <row r="23" spans="15:15" x14ac:dyDescent="0.25">
      <c r="O23" t="str">
        <f t="shared" si="0"/>
        <v/>
      </c>
    </row>
    <row r="24" spans="15:15" x14ac:dyDescent="0.25">
      <c r="O24" t="str">
        <f t="shared" si="0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newStations</vt:lpstr>
    </vt:vector>
  </TitlesOfParts>
  <Company>Connecticut DEEP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deepuser</dc:creator>
  <cp:lastModifiedBy>deepuser</cp:lastModifiedBy>
  <dcterms:created xsi:type="dcterms:W3CDTF">2020-07-09T12:37:39Z</dcterms:created>
  <dcterms:modified xsi:type="dcterms:W3CDTF">2020-07-09T16:31:12Z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bac22a3c-8403-4848-a12b-2181aa89ad71</vt:lpwstr>
  </property>
</Properties>
</file>